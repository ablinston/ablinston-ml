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X:\Repos\custom_tools\tests\data\"/>
    </mc:Choice>
  </mc:AlternateContent>
  <bookViews>
    <workbookView xWindow="0" yWindow="0" windowWidth="16185" windowHeight="7785"/>
  </bookViews>
  <sheets>
    <sheet name="test_calculate_decayed_mean_inp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" i="1" l="1"/>
  <c r="M5" i="1"/>
  <c r="L5" i="1"/>
  <c r="I7" i="1"/>
  <c r="J8" i="1"/>
  <c r="J7" i="1"/>
  <c r="J6" i="1"/>
  <c r="J5" i="1"/>
  <c r="I6" i="1"/>
  <c r="I5" i="1"/>
  <c r="H6" i="1"/>
  <c r="H5" i="1"/>
  <c r="M2" i="1"/>
  <c r="L2" i="1"/>
  <c r="H3" i="1"/>
  <c r="I4" i="1"/>
  <c r="I3" i="1"/>
  <c r="I2" i="1"/>
  <c r="H2" i="1"/>
  <c r="F5" i="1"/>
  <c r="F6" i="1"/>
  <c r="E5" i="1"/>
  <c r="F2" i="1"/>
  <c r="F3" i="1"/>
  <c r="E2" i="1"/>
  <c r="G5" i="1"/>
  <c r="G6" i="1"/>
  <c r="G7" i="1"/>
</calcChain>
</file>

<file path=xl/sharedStrings.xml><?xml version="1.0" encoding="utf-8"?>
<sst xmlns="http://schemas.openxmlformats.org/spreadsheetml/2006/main" count="15" uniqueCount="10">
  <si>
    <t>team</t>
  </si>
  <si>
    <t>date</t>
  </si>
  <si>
    <t>points</t>
  </si>
  <si>
    <t>Lions</t>
  </si>
  <si>
    <t>Bears</t>
  </si>
  <si>
    <t>Days between</t>
  </si>
  <si>
    <t>Weights</t>
  </si>
  <si>
    <t>halflife</t>
  </si>
  <si>
    <t>Decayed stats</t>
  </si>
  <si>
    <t>Window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</si>
</sst>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wrapText="1"/>
    </xf>
    <xf numFmtId="14" fontId="0" fillId="0" borderId="0" xfId="0" applyNumberFormat="1"/>
    <xf numFmtId="14" fontId="2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2" fillId="0" borderId="2" xfId="0" applyFont="1" applyFill="1" applyBorder="1" applyAlignment="1">
      <alignment wrapText="1"/>
    </xf>
    <xf numFmtId="0" fontId="2" fillId="0" borderId="2" xfId="0" applyFont="1" applyFill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1" fillId="0" borderId="0" xfId="0" applyFont="1"/>
    <xf numFmtId="0" fontId="3" fillId="0" borderId="3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tabSelected="1" workbookViewId="0">
      <selection activeCell="S5" sqref="S5"/>
    </sheetView>
  </sheetViews>
  <sheetFormatPr defaultRowHeight="15" x14ac:dyDescent="0.25"/>
  <cols>
    <col min="2" max="2" width="10.7109375" bestFit="1" customWidth="1"/>
  </cols>
  <sheetData>
    <row r="1" spans="1:14" s="8" customFormat="1" ht="27" thickBot="1" x14ac:dyDescent="0.3">
      <c r="A1" s="7" t="s">
        <v>0</v>
      </c>
      <c r="B1" s="7" t="s">
        <v>1</v>
      </c>
      <c r="C1" s="7" t="s">
        <v>2</v>
      </c>
      <c r="E1" s="9" t="s">
        <v>5</v>
      </c>
      <c r="H1" s="8" t="s">
        <v>6</v>
      </c>
      <c r="L1" s="8" t="s">
        <v>8</v>
      </c>
    </row>
    <row r="2" spans="1:14" ht="15.75" thickBot="1" x14ac:dyDescent="0.3">
      <c r="A2" s="1" t="s">
        <v>3</v>
      </c>
      <c r="B2" s="3">
        <v>45292</v>
      </c>
      <c r="C2" s="4">
        <v>10</v>
      </c>
      <c r="E2">
        <f>B3-B2</f>
        <v>1</v>
      </c>
      <c r="F2">
        <f>B4-B2</f>
        <v>2</v>
      </c>
      <c r="H2">
        <f>EXP(-LN(2)*E2/$F$11)</f>
        <v>0.99615658722057521</v>
      </c>
      <c r="I2">
        <f>EXP(-LN(2)*F2/$F$11)</f>
        <v>0.99232794626294352</v>
      </c>
      <c r="L2">
        <f>SUMPRODUCT($C2:$C4,H2:H4)/SUM(H2:H4)</f>
        <v>15.009627032278004</v>
      </c>
      <c r="M2">
        <f>SUMPRODUCT($C2:$C4,I2:I4)/SUM(I2:I4)</f>
        <v>20.025672054350949</v>
      </c>
    </row>
    <row r="3" spans="1:14" ht="15.75" thickBot="1" x14ac:dyDescent="0.3">
      <c r="A3" s="1" t="s">
        <v>3</v>
      </c>
      <c r="B3" s="3">
        <v>45293</v>
      </c>
      <c r="C3" s="4">
        <v>20</v>
      </c>
      <c r="E3">
        <v>0</v>
      </c>
      <c r="F3">
        <f>B4-B3</f>
        <v>1</v>
      </c>
      <c r="H3">
        <f>EXP(-LN(2)*E3/$F$11)</f>
        <v>1</v>
      </c>
      <c r="I3">
        <f>EXP(-LN(2)*F3/$F$11)</f>
        <v>0.99615658722057521</v>
      </c>
    </row>
    <row r="4" spans="1:14" ht="15.75" thickBot="1" x14ac:dyDescent="0.3">
      <c r="A4" s="1" t="s">
        <v>3</v>
      </c>
      <c r="B4" s="3">
        <v>45294</v>
      </c>
      <c r="C4" s="4">
        <v>30</v>
      </c>
      <c r="F4">
        <v>0</v>
      </c>
      <c r="I4">
        <f>EXP(-LN(2)*F4/$F$11)</f>
        <v>1</v>
      </c>
    </row>
    <row r="5" spans="1:14" ht="15.75" thickBot="1" x14ac:dyDescent="0.3">
      <c r="A5" s="1" t="s">
        <v>4</v>
      </c>
      <c r="B5" s="3">
        <v>44927</v>
      </c>
      <c r="C5" s="4">
        <v>100</v>
      </c>
      <c r="E5">
        <f>B6-B5</f>
        <v>338</v>
      </c>
      <c r="F5">
        <f>B7-B5</f>
        <v>365</v>
      </c>
      <c r="G5">
        <f>B8-B5</f>
        <v>366</v>
      </c>
      <c r="H5">
        <f>IF(E5&gt;$F$12,0,EXP(-LN(2)*E5/$F$11))</f>
        <v>0.27210251987756573</v>
      </c>
      <c r="I5">
        <f>IF(F5&gt;$F$12,0,EXP(-LN(2)*F5/$F$11))</f>
        <v>0</v>
      </c>
      <c r="J5">
        <f>IF(G5&gt;$F$12,0,EXP(-LN(2)*G5/$F$11))</f>
        <v>0</v>
      </c>
      <c r="L5">
        <f>SUMPRODUCT($C5:$C8,H5:H8)/SUM(H5:H8)</f>
        <v>29.250985204665653</v>
      </c>
      <c r="M5">
        <f>SUMPRODUCT($C5:$C8,I5:I8)/SUM(I5:I8)</f>
        <v>15.259696287604227</v>
      </c>
      <c r="N5">
        <f>SUMPRODUCT($C5:$C8,J5:J8)/SUM(J5:J8)</f>
        <v>23.808690597279366</v>
      </c>
    </row>
    <row r="6" spans="1:14" ht="15.75" thickBot="1" x14ac:dyDescent="0.3">
      <c r="A6" s="5" t="s">
        <v>4</v>
      </c>
      <c r="B6" s="2">
        <v>45265</v>
      </c>
      <c r="C6" s="6">
        <v>10</v>
      </c>
      <c r="E6">
        <v>0</v>
      </c>
      <c r="F6">
        <f>B7-B6</f>
        <v>27</v>
      </c>
      <c r="G6">
        <f>B8-B6</f>
        <v>28</v>
      </c>
      <c r="H6">
        <f>IF(E6&gt;$F$12,0,EXP(-LN(2)*E6/$F$11))</f>
        <v>1</v>
      </c>
      <c r="I6">
        <f>IF(F6&gt;$F$12,0,EXP(-LN(2)*F6/$F$11))</f>
        <v>0.90125046261083019</v>
      </c>
      <c r="J6">
        <f>IF(G6&gt;$F$12,0,EXP(-LN(2)*G6/$F$11))</f>
        <v>0.89778658506536935</v>
      </c>
    </row>
    <row r="7" spans="1:14" ht="15.75" thickBot="1" x14ac:dyDescent="0.3">
      <c r="A7" s="1" t="s">
        <v>4</v>
      </c>
      <c r="B7" s="3">
        <v>45292</v>
      </c>
      <c r="C7" s="4">
        <v>20</v>
      </c>
      <c r="F7">
        <v>0</v>
      </c>
      <c r="G7">
        <f>B8-B7</f>
        <v>1</v>
      </c>
      <c r="I7">
        <f>IF(F7&gt;$F$12,0,EXP(-LN(2)*F7/$F$11))</f>
        <v>1</v>
      </c>
      <c r="J7">
        <f>IF(G7&gt;$F$12,0,EXP(-LN(2)*G7/$F$11))</f>
        <v>0.99615658722057521</v>
      </c>
    </row>
    <row r="8" spans="1:14" ht="15.75" thickBot="1" x14ac:dyDescent="0.3">
      <c r="A8" s="1" t="s">
        <v>4</v>
      </c>
      <c r="B8" s="3">
        <v>45293</v>
      </c>
      <c r="C8" s="4">
        <v>40</v>
      </c>
      <c r="G8">
        <v>0</v>
      </c>
      <c r="J8">
        <f>IF(G8&gt;$F$12,0,EXP(-LN(2)*G8/$F$11))</f>
        <v>1</v>
      </c>
    </row>
    <row r="11" spans="1:14" x14ac:dyDescent="0.25">
      <c r="E11" t="s">
        <v>7</v>
      </c>
      <c r="F11">
        <v>180</v>
      </c>
    </row>
    <row r="12" spans="1:14" x14ac:dyDescent="0.25">
      <c r="E12" t="s">
        <v>9</v>
      </c>
      <c r="F12">
        <v>364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test_calculate_decayed_mean_inp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</dc:creator>
  <cp:lastModifiedBy>Andy</cp:lastModifiedBy>
  <dcterms:created xsi:type="dcterms:W3CDTF">2026-02-13T12:58:12Z</dcterms:created>
  <dcterms:modified xsi:type="dcterms:W3CDTF">2026-02-13T14:55:50Z</dcterms:modified>
</cp:coreProperties>
</file>